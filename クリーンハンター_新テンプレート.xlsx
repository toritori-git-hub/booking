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請求書（ハウスクリーニング）" sheetId="1" state="visible" r:id="rId1"/>
    <sheet name="見積書（網戸・障子）" sheetId="2" state="visible" r:id="rId2"/>
    <sheet name="顧客データベース（カルテ）" sheetId="3" state="visible" r:id="rId3"/>
  </sheets>
  <definedNames/>
  <calcPr calcId="124519" fullCalcOnLoad="1"/>
</workbook>
</file>

<file path=xl/styles.xml><?xml version="1.0" encoding="utf-8"?>
<styleSheet xmlns="http://schemas.openxmlformats.org/spreadsheetml/2006/main">
  <numFmts count="1">
    <numFmt numFmtId="164" formatCode="¥#,##0"/>
  </numFmts>
  <fonts count="19">
    <font>
      <name val="Calibri"/>
      <family val="2"/>
      <color theme="1"/>
      <sz val="11"/>
      <scheme val="minor"/>
    </font>
    <font>
      <name val="Arial"/>
      <i val="1"/>
      <color rgb="007090C0"/>
      <sz val="9"/>
    </font>
    <font>
      <name val="Arial"/>
      <sz val="9"/>
    </font>
    <font>
      <name val="Arial"/>
      <sz val="10"/>
    </font>
    <font>
      <name val="Arial"/>
      <b val="1"/>
      <sz val="14"/>
    </font>
    <font>
      <name val="Arial"/>
      <b val="1"/>
      <sz val="18"/>
    </font>
    <font>
      <name val="Arial"/>
      <b val="1"/>
      <sz val="9"/>
    </font>
    <font>
      <name val="Arial"/>
      <b val="1"/>
      <sz val="11"/>
    </font>
    <font>
      <name val="Arial"/>
      <i val="1"/>
      <color rgb="00555555"/>
      <sz val="9"/>
    </font>
    <font>
      <name val="Arial"/>
      <b val="1"/>
      <color rgb="00FFFFFF"/>
      <sz val="9"/>
    </font>
    <font>
      <name val="Arial"/>
      <b val="1"/>
      <sz val="13"/>
    </font>
    <font>
      <name val="Arial"/>
      <color rgb="00444444"/>
      <sz val="8"/>
    </font>
    <font>
      <name val="Arial"/>
      <color rgb="001155CC"/>
      <sz val="8"/>
      <u val="single"/>
    </font>
    <font>
      <name val="Arial"/>
      <color rgb="0000AA00"/>
      <sz val="8"/>
      <u val="single"/>
    </font>
    <font>
      <name val="Arial"/>
      <b val="1"/>
      <color rgb="00FFFFFF"/>
      <sz val="8"/>
    </font>
    <font>
      <name val="Arial"/>
      <sz val="7"/>
    </font>
    <font>
      <name val="Arial"/>
      <b val="1"/>
      <color rgb="001F4E79"/>
      <sz val="14"/>
    </font>
    <font>
      <name val="Arial"/>
      <i val="1"/>
      <color rgb="00888888"/>
      <sz val="9"/>
    </font>
    <font>
      <name val="Arial"/>
      <i val="1"/>
      <color rgb="00555555"/>
      <sz val="8"/>
    </font>
  </fonts>
  <fills count="10">
    <fill>
      <patternFill/>
    </fill>
    <fill>
      <patternFill patternType="gray125"/>
    </fill>
    <fill>
      <patternFill patternType="solid">
        <fgColor rgb="00EEF2FF"/>
      </patternFill>
    </fill>
    <fill>
      <patternFill patternType="solid">
        <fgColor rgb="00DBEAFE"/>
      </patternFill>
    </fill>
    <fill>
      <patternFill patternType="solid">
        <fgColor rgb="001F4E79"/>
      </patternFill>
    </fill>
    <fill>
      <patternFill patternType="solid">
        <fgColor rgb="00F5F5F5"/>
      </patternFill>
    </fill>
    <fill>
      <patternFill patternType="solid">
        <fgColor rgb="00FFFDE7"/>
      </patternFill>
    </fill>
    <fill>
      <patternFill patternType="solid">
        <fgColor rgb="00FFFFFF"/>
      </patternFill>
    </fill>
    <fill>
      <patternFill patternType="solid">
        <fgColor rgb="00F0F7FF"/>
      </patternFill>
    </fill>
    <fill>
      <patternFill patternType="solid">
        <fgColor rgb="00FFF9C4"/>
      </patternFill>
    </fill>
  </fills>
  <borders count="25">
    <border>
      <left/>
      <right/>
      <top/>
      <bottom/>
      <diagonal/>
    </border>
    <border>
      <left style="medium"/>
      <right style="medium"/>
      <top style="medium"/>
      <bottom style="medium"/>
    </border>
    <border>
      <bottom style="thick"/>
    </border>
    <border>
      <bottom style="medium"/>
    </border>
    <border>
      <left style="thin"/>
      <right style="thin"/>
      <top style="thin"/>
      <bottom style="thin"/>
    </border>
    <border>
      <bottom style="hair"/>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
      <left/>
      <right/>
      <top/>
      <bottom style="medium"/>
      <diagonal/>
    </border>
    <border>
      <left/>
      <right/>
      <top style="medium"/>
      <bottom/>
      <diagonal/>
    </border>
    <border>
      <left style="medium"/>
      <right/>
      <top/>
      <bottom/>
      <diagonal/>
    </border>
    <border>
      <left/>
      <right style="medium"/>
      <top style="medium"/>
      <bottom/>
      <diagonal/>
    </border>
    <border>
      <left/>
      <right style="medium"/>
      <top/>
      <bottom/>
      <diagonal/>
    </border>
    <border>
      <left style="medium"/>
      <right/>
      <top/>
      <bottom style="medium"/>
      <diagonal/>
    </border>
    <border>
      <left/>
      <right style="medium"/>
      <top/>
      <bottom style="medium"/>
      <diagonal/>
    </border>
    <border>
      <left/>
      <right/>
      <top/>
      <bottom style="thick"/>
      <diagonal/>
    </border>
  </borders>
  <cellStyleXfs count="1">
    <xf numFmtId="0" fontId="0" fillId="0" borderId="0"/>
  </cellStyleXfs>
  <cellXfs count="5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right" vertical="center"/>
    </xf>
    <xf numFmtId="0" fontId="3" fillId="0" borderId="0" applyAlignment="1" pivotButton="0" quotePrefix="0" xfId="0">
      <alignment horizontal="left"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2" fillId="0" borderId="0" applyAlignment="1" pivotButton="0" quotePrefix="0" xfId="0">
      <alignment horizontal="left" vertical="center"/>
    </xf>
    <xf numFmtId="0" fontId="5" fillId="0" borderId="2" applyAlignment="1" pivotButton="0" quotePrefix="0" xfId="0">
      <alignment horizontal="center" vertical="center"/>
    </xf>
    <xf numFmtId="0" fontId="6" fillId="0" borderId="0" applyAlignment="1" pivotButton="0" quotePrefix="0" xfId="0">
      <alignment horizontal="right" vertical="center"/>
    </xf>
    <xf numFmtId="0" fontId="7" fillId="0" borderId="3" applyAlignment="1" pivotButton="0" quotePrefix="0" xfId="0">
      <alignment horizontal="left" vertical="center"/>
    </xf>
    <xf numFmtId="0" fontId="6" fillId="0" borderId="4" applyAlignment="1" pivotButton="0" quotePrefix="0" xfId="0">
      <alignment horizontal="left" vertical="center"/>
    </xf>
    <xf numFmtId="0" fontId="2" fillId="0" borderId="4" applyAlignment="1" pivotButton="0" quotePrefix="0" xfId="0">
      <alignment horizontal="left" vertical="center"/>
    </xf>
    <xf numFmtId="0" fontId="8" fillId="0" borderId="0" applyAlignment="1" pivotButton="0" quotePrefix="0" xfId="0">
      <alignment horizontal="left" vertical="center"/>
    </xf>
    <xf numFmtId="0" fontId="7" fillId="3" borderId="4" applyAlignment="1" pivotButton="0" quotePrefix="0" xfId="0">
      <alignment horizontal="center" vertical="center"/>
    </xf>
    <xf numFmtId="164" fontId="10" fillId="3" borderId="4" applyAlignment="1" pivotButton="0" quotePrefix="0" xfId="0">
      <alignment horizontal="center" vertical="center"/>
    </xf>
    <xf numFmtId="0" fontId="9" fillId="4" borderId="4" applyAlignment="1" pivotButton="0" quotePrefix="0" xfId="0">
      <alignment horizontal="center" vertical="center"/>
    </xf>
    <xf numFmtId="0" fontId="2" fillId="0" borderId="4" applyAlignment="1" pivotButton="0" quotePrefix="0" xfId="0">
      <alignment horizontal="center" vertical="center"/>
    </xf>
    <xf numFmtId="3" fontId="2" fillId="0" borderId="4" applyAlignment="1" pivotButton="0" quotePrefix="0" xfId="0">
      <alignment horizontal="right" vertical="center"/>
    </xf>
    <xf numFmtId="0" fontId="2" fillId="5" borderId="4" applyAlignment="1" pivotButton="0" quotePrefix="0" xfId="0">
      <alignment horizontal="right" vertical="center"/>
    </xf>
    <xf numFmtId="164" fontId="2" fillId="0" borderId="4" applyAlignment="1" pivotButton="0" quotePrefix="0" xfId="0">
      <alignment horizontal="right" vertical="center"/>
    </xf>
    <xf numFmtId="0" fontId="6" fillId="3" borderId="4" applyAlignment="1" pivotButton="0" quotePrefix="0" xfId="0">
      <alignment horizontal="right" vertical="center"/>
    </xf>
    <xf numFmtId="164" fontId="6" fillId="3" borderId="4" applyAlignment="1" pivotButton="0" quotePrefix="0" xfId="0">
      <alignment horizontal="right" vertical="center"/>
    </xf>
    <xf numFmtId="0" fontId="11" fillId="6" borderId="4" applyAlignment="1" pivotButton="0" quotePrefix="0" xfId="0">
      <alignment horizontal="left" vertical="top" wrapText="1"/>
    </xf>
    <xf numFmtId="0" fontId="12" fillId="0" borderId="0" pivotButton="0" quotePrefix="0" xfId="0"/>
    <xf numFmtId="0" fontId="13" fillId="0" borderId="0" pivotButton="0" quotePrefix="0" xfId="0"/>
    <xf numFmtId="0" fontId="14" fillId="4" borderId="0" applyAlignment="1" pivotButton="0" quotePrefix="0" xfId="0">
      <alignment horizontal="center" vertical="center"/>
    </xf>
    <xf numFmtId="0" fontId="15" fillId="0" borderId="5" pivotButton="0" quotePrefix="0" xfId="0"/>
    <xf numFmtId="3" fontId="15" fillId="0" borderId="5" pivotButton="0" quotePrefix="0" xfId="0"/>
    <xf numFmtId="0" fontId="16" fillId="3" borderId="0" applyAlignment="1" pivotButton="0" quotePrefix="0" xfId="0">
      <alignment horizontal="center" vertical="center"/>
    </xf>
    <xf numFmtId="0" fontId="17" fillId="0" borderId="0" applyAlignment="1" pivotButton="0" quotePrefix="0" xfId="0">
      <alignment horizontal="right" vertical="center"/>
    </xf>
    <xf numFmtId="0" fontId="2" fillId="7" borderId="4" applyAlignment="1" pivotButton="0" quotePrefix="0" xfId="0">
      <alignment horizontal="center" vertical="center"/>
    </xf>
    <xf numFmtId="0" fontId="2" fillId="7" borderId="4" pivotButton="0" quotePrefix="0" xfId="0"/>
    <xf numFmtId="164" fontId="2" fillId="7" borderId="4" pivotButton="0" quotePrefix="0" xfId="0"/>
    <xf numFmtId="0" fontId="2" fillId="8" borderId="4" applyAlignment="1" pivotButton="0" quotePrefix="0" xfId="0">
      <alignment horizontal="center" vertical="center"/>
    </xf>
    <xf numFmtId="0" fontId="2" fillId="8" borderId="4" pivotButton="0" quotePrefix="0" xfId="0"/>
    <xf numFmtId="164" fontId="2" fillId="8" borderId="4" pivotButton="0" quotePrefix="0" xfId="0"/>
    <xf numFmtId="0" fontId="18" fillId="9" borderId="4" applyAlignment="1" pivotButton="0" quotePrefix="0" xfId="0">
      <alignment horizontal="left" vertical="center"/>
    </xf>
    <xf numFmtId="0" fontId="0" fillId="0" borderId="18" pivotButton="0" quotePrefix="0" xfId="0"/>
    <xf numFmtId="0" fontId="0" fillId="0" borderId="20" pivotButton="0" quotePrefix="0" xfId="0"/>
    <xf numFmtId="0" fontId="0" fillId="0" borderId="19" pivotButton="0" quotePrefix="0" xfId="0"/>
    <xf numFmtId="0" fontId="0" fillId="0" borderId="21" pivotButton="0" quotePrefix="0" xfId="0"/>
    <xf numFmtId="0" fontId="0" fillId="0" borderId="22" pivotButton="0" quotePrefix="0" xfId="0"/>
    <xf numFmtId="0" fontId="0" fillId="0" borderId="17" pivotButton="0" quotePrefix="0" xfId="0"/>
    <xf numFmtId="0" fontId="0" fillId="0" borderId="23" pivotButton="0" quotePrefix="0" xfId="0"/>
    <xf numFmtId="0" fontId="0" fillId="0" borderId="24" pivotButton="0" quotePrefix="0" xfId="0"/>
    <xf numFmtId="0" fontId="0" fillId="0" borderId="9" pivotButton="0" quotePrefix="0" xfId="0"/>
    <xf numFmtId="0" fontId="0" fillId="0" borderId="8" pivotButton="0" quotePrefix="0" xfId="0"/>
    <xf numFmtId="0" fontId="0" fillId="0" borderId="16" pivotButton="0" quotePrefix="0" xfId="0"/>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6"/>
  <sheetViews>
    <sheetView workbookViewId="0">
      <selection activeCell="A1" sqref="A1"/>
    </sheetView>
  </sheetViews>
  <sheetFormatPr baseColWidth="8" defaultRowHeight="15"/>
  <cols>
    <col width="2.5" customWidth="1" min="1" max="1"/>
    <col width="8" customWidth="1" min="2" max="2"/>
    <col width="28" customWidth="1" min="3" max="3"/>
    <col width="6" customWidth="1" min="4" max="4"/>
    <col width="8" customWidth="1" min="5" max="5"/>
    <col width="11" customWidth="1" min="6" max="6"/>
    <col width="2" customWidth="1" min="7" max="7"/>
    <col width="10" customWidth="1" min="8" max="8"/>
    <col width="22" customWidth="1" min="9" max="9"/>
  </cols>
  <sheetData>
    <row r="1" ht="28" customHeight="1">
      <c r="A1" s="1" t="inlineStr">
        <is>
          <t>【ロゴ・会社名
貼付スペース】</t>
        </is>
      </c>
      <c r="B1" s="37" t="n"/>
      <c r="C1" s="38" t="n"/>
      <c r="E1" s="2" t="inlineStr">
        <is>
          <t>発行日</t>
        </is>
      </c>
      <c r="F1" s="3" t="inlineStr">
        <is>
          <t>2026/06/16</t>
        </is>
      </c>
    </row>
    <row r="2" ht="28" customHeight="1">
      <c r="A2" s="39" t="n"/>
      <c r="C2" s="40" t="n"/>
      <c r="E2" s="4" t="inlineStr">
        <is>
          <t>クリーンハンター.COM</t>
        </is>
      </c>
    </row>
    <row r="3" ht="28" customHeight="1">
      <c r="A3" s="41" t="n"/>
      <c r="B3" s="42" t="n"/>
      <c r="C3" s="43" t="n"/>
      <c r="E3" s="5" t="inlineStr">
        <is>
          <t>代　表　　鳥　山　修　史</t>
        </is>
      </c>
    </row>
    <row r="4" ht="28" customHeight="1">
      <c r="A4" s="1" t="inlineStr">
        <is>
          <t>【担当者・会員証
貼付スペース】</t>
        </is>
      </c>
      <c r="B4" s="37" t="n"/>
      <c r="C4" s="38" t="n"/>
      <c r="E4" s="6" t="inlineStr">
        <is>
          <t>〒658-0022　神戸市東灘区深江南町3-5-1</t>
        </is>
      </c>
    </row>
    <row r="5" ht="28" customHeight="1">
      <c r="A5" s="39" t="n"/>
      <c r="C5" s="40" t="n"/>
      <c r="E5" s="6" t="inlineStr">
        <is>
          <t>078-451-3661　info@clean-hunter.com</t>
        </is>
      </c>
    </row>
    <row r="6" ht="28" customHeight="1">
      <c r="A6" s="41" t="n"/>
      <c r="B6" s="42" t="n"/>
      <c r="C6" s="43" t="n"/>
      <c r="E6" s="6" t="inlineStr">
        <is>
          <t>URL　www.clean-hunter.com</t>
        </is>
      </c>
    </row>
    <row r="7" ht="26" customHeight="1">
      <c r="B7" s="7" t="inlineStr">
        <is>
          <t>ご請求書</t>
        </is>
      </c>
      <c r="C7" s="44" t="n"/>
      <c r="D7" s="44" t="n"/>
      <c r="E7" s="8" t="inlineStr">
        <is>
          <t>登録番号　T5810 3626 62803</t>
        </is>
      </c>
    </row>
    <row r="8" ht="20" customHeight="1">
      <c r="B8" s="9" t="inlineStr">
        <is>
          <t xml:space="preserve">　　　　　　　　　　　　　　　　　　御中</t>
        </is>
      </c>
      <c r="C8" s="42" t="n"/>
      <c r="D8" s="42" t="n"/>
      <c r="E8" s="42" t="n"/>
      <c r="F8" s="42" t="n"/>
      <c r="G8" s="42" t="n"/>
      <c r="H8" s="42" t="n"/>
      <c r="I8" s="42" t="n"/>
    </row>
    <row r="9" ht="16" customHeight="1">
      <c r="B9" s="10" t="inlineStr">
        <is>
          <t>件　　名：</t>
        </is>
      </c>
      <c r="C9" s="11" t="n"/>
      <c r="D9" s="45" t="n"/>
      <c r="E9" s="45" t="n"/>
      <c r="F9" s="45" t="n"/>
      <c r="G9" s="45" t="n"/>
      <c r="H9" s="45" t="n"/>
      <c r="I9" s="46" t="n"/>
    </row>
    <row r="10" ht="16" customHeight="1">
      <c r="B10" s="10" t="inlineStr">
        <is>
          <t>納　　期：</t>
        </is>
      </c>
      <c r="C10" s="11" t="n"/>
      <c r="D10" s="45" t="n"/>
      <c r="E10" s="46" t="n"/>
      <c r="G10" s="10" t="inlineStr">
        <is>
          <t>納品場所：</t>
        </is>
      </c>
      <c r="H10" s="11" t="n"/>
      <c r="I10" s="46" t="n"/>
    </row>
    <row r="11" ht="16" customHeight="1">
      <c r="B11" s="10" t="inlineStr">
        <is>
          <t>支払条件：</t>
        </is>
      </c>
      <c r="C11" s="11" t="inlineStr">
        <is>
          <t>現金カード決済</t>
        </is>
      </c>
      <c r="D11" s="45" t="n"/>
      <c r="E11" s="45" t="n"/>
      <c r="F11" s="45" t="n"/>
      <c r="G11" s="45" t="n"/>
      <c r="H11" s="45" t="n"/>
      <c r="I11" s="46" t="n"/>
    </row>
    <row r="12" ht="16" customHeight="1">
      <c r="B12" s="10" t="inlineStr">
        <is>
          <t>見積期限：</t>
        </is>
      </c>
      <c r="C12" s="11" t="n"/>
      <c r="D12" s="45" t="n"/>
      <c r="E12" s="45" t="n"/>
      <c r="F12" s="45" t="n"/>
      <c r="G12" s="45" t="n"/>
      <c r="H12" s="45" t="n"/>
      <c r="I12" s="46" t="n"/>
    </row>
    <row r="13" ht="16" customHeight="1">
      <c r="B13" s="12" t="inlineStr">
        <is>
          <t>下記の通り、お見積り申し上げます。</t>
        </is>
      </c>
    </row>
    <row r="14" ht="26" customHeight="1">
      <c r="B14" s="13" t="inlineStr">
        <is>
          <t>金　額</t>
        </is>
      </c>
      <c r="C14" s="14">
        <f>F34</f>
        <v/>
      </c>
      <c r="D14" s="11" t="inlineStr">
        <is>
          <t>（税込）</t>
        </is>
      </c>
    </row>
    <row r="15" ht="16" customHeight="1">
      <c r="B15" s="47" t="n"/>
      <c r="D15" s="47" t="n"/>
    </row>
    <row r="16" ht="18" customHeight="1">
      <c r="B16" s="15" t="inlineStr">
        <is>
          <t>No.</t>
        </is>
      </c>
      <c r="C16" s="15" t="inlineStr">
        <is>
          <t>項　目</t>
        </is>
      </c>
      <c r="D16" s="15" t="inlineStr">
        <is>
          <t>数量</t>
        </is>
      </c>
      <c r="E16" s="15" t="inlineStr">
        <is>
          <t>単価</t>
        </is>
      </c>
      <c r="F16" s="15" t="inlineStr">
        <is>
          <t>金額</t>
        </is>
      </c>
    </row>
    <row r="17" ht="15" customHeight="1">
      <c r="B17" s="16" t="n">
        <v>1</v>
      </c>
      <c r="C17" s="11" t="n"/>
      <c r="D17" s="16" t="n"/>
      <c r="E17" s="17" t="n"/>
      <c r="F17" s="17">
        <f>IF(D17="","",D17*E17)</f>
        <v/>
      </c>
    </row>
    <row r="18" ht="15" customHeight="1">
      <c r="B18" s="16" t="n">
        <v>2</v>
      </c>
      <c r="C18" s="11" t="n"/>
      <c r="D18" s="16" t="n"/>
      <c r="E18" s="17" t="n"/>
      <c r="F18" s="17">
        <f>IF(D18="","",D18*E18)</f>
        <v/>
      </c>
    </row>
    <row r="19" ht="15" customHeight="1">
      <c r="B19" s="16" t="n">
        <v>3</v>
      </c>
      <c r="C19" s="11" t="n"/>
      <c r="D19" s="16" t="n"/>
      <c r="E19" s="17" t="n"/>
      <c r="F19" s="17">
        <f>IF(D19="","",D19*E19)</f>
        <v/>
      </c>
    </row>
    <row r="20" ht="15" customHeight="1">
      <c r="B20" s="16" t="n">
        <v>4</v>
      </c>
      <c r="C20" s="11" t="n"/>
      <c r="D20" s="16" t="n"/>
      <c r="E20" s="17" t="n"/>
      <c r="F20" s="17">
        <f>IF(D20="","",D20*E20)</f>
        <v/>
      </c>
    </row>
    <row r="21" ht="15" customHeight="1">
      <c r="B21" s="16" t="n">
        <v>5</v>
      </c>
      <c r="C21" s="11" t="n"/>
      <c r="D21" s="16" t="n"/>
      <c r="E21" s="17" t="n"/>
      <c r="F21" s="17">
        <f>IF(D21="","",D21*E21)</f>
        <v/>
      </c>
    </row>
    <row r="22" ht="15" customHeight="1">
      <c r="B22" s="16" t="n">
        <v>6</v>
      </c>
      <c r="C22" s="11" t="n"/>
      <c r="D22" s="16" t="n"/>
      <c r="E22" s="17" t="n"/>
      <c r="F22" s="17">
        <f>IF(D22="","",D22*E22)</f>
        <v/>
      </c>
    </row>
    <row r="23" ht="15" customHeight="1">
      <c r="B23" s="16" t="n">
        <v>7</v>
      </c>
      <c r="C23" s="11" t="n"/>
      <c r="D23" s="16" t="n"/>
      <c r="E23" s="17" t="n"/>
      <c r="F23" s="17">
        <f>IF(D23="","",D23*E23)</f>
        <v/>
      </c>
    </row>
    <row r="24" ht="15" customHeight="1">
      <c r="B24" s="16" t="n">
        <v>8</v>
      </c>
      <c r="C24" s="11" t="n"/>
      <c r="D24" s="16" t="n"/>
      <c r="E24" s="17" t="n"/>
      <c r="F24" s="17">
        <f>IF(D24="","",D24*E24)</f>
        <v/>
      </c>
    </row>
    <row r="25" ht="15" customHeight="1">
      <c r="B25" s="16" t="n">
        <v>9</v>
      </c>
      <c r="C25" s="11" t="n"/>
      <c r="D25" s="16" t="n"/>
      <c r="E25" s="17" t="n"/>
      <c r="F25" s="17">
        <f>IF(D25="","",D25*E25)</f>
        <v/>
      </c>
    </row>
    <row r="26" ht="15" customHeight="1">
      <c r="B26" s="16" t="n">
        <v>10</v>
      </c>
      <c r="C26" s="11" t="n"/>
      <c r="D26" s="16" t="n"/>
      <c r="E26" s="17" t="n"/>
      <c r="F26" s="17">
        <f>IF(D26="","",D26*E26)</f>
        <v/>
      </c>
    </row>
    <row r="27" ht="15" customHeight="1">
      <c r="B27" s="16" t="n">
        <v>11</v>
      </c>
      <c r="C27" s="11" t="n"/>
      <c r="D27" s="16" t="n"/>
      <c r="E27" s="17" t="n"/>
      <c r="F27" s="17">
        <f>IF(D27="","",D27*E27)</f>
        <v/>
      </c>
    </row>
    <row r="28" ht="15" customHeight="1">
      <c r="B28" s="16" t="n">
        <v>12</v>
      </c>
      <c r="C28" s="11" t="n"/>
      <c r="D28" s="16" t="n"/>
      <c r="E28" s="17" t="n"/>
      <c r="F28" s="17">
        <f>IF(D28="","",D28*E28)</f>
        <v/>
      </c>
    </row>
    <row r="29" ht="15" customHeight="1">
      <c r="B29" s="16" t="n">
        <v>13</v>
      </c>
      <c r="C29" s="11" t="n"/>
      <c r="D29" s="16" t="n"/>
      <c r="E29" s="17" t="n"/>
      <c r="F29" s="17">
        <f>IF(D29="","",D29*E29)</f>
        <v/>
      </c>
    </row>
    <row r="30" ht="15" customHeight="1">
      <c r="B30" s="16" t="n">
        <v>14</v>
      </c>
      <c r="C30" s="11" t="n"/>
      <c r="D30" s="16" t="n"/>
      <c r="E30" s="17" t="n"/>
      <c r="F30" s="17">
        <f>IF(D30="","",D30*E30)</f>
        <v/>
      </c>
    </row>
    <row r="31" ht="15" customHeight="1">
      <c r="B31" s="16" t="n">
        <v>15</v>
      </c>
      <c r="C31" s="11" t="n"/>
      <c r="D31" s="16" t="n"/>
      <c r="E31" s="17" t="n"/>
      <c r="F31" s="17">
        <f>IF(D31="","",D31*E31)</f>
        <v/>
      </c>
    </row>
    <row r="32">
      <c r="B32" s="18" t="inlineStr">
        <is>
          <t>小　計</t>
        </is>
      </c>
      <c r="C32" s="45" t="n"/>
      <c r="D32" s="45" t="n"/>
      <c r="E32" s="46" t="n"/>
      <c r="F32" s="19">
        <f>SUM(F17:F31)</f>
        <v/>
      </c>
    </row>
    <row r="33">
      <c r="B33" s="18" t="inlineStr">
        <is>
          <t>消費税（10%）</t>
        </is>
      </c>
      <c r="C33" s="45" t="n"/>
      <c r="D33" s="45" t="n"/>
      <c r="E33" s="46" t="n"/>
      <c r="F33" s="19">
        <f>F32*0.1</f>
        <v/>
      </c>
    </row>
    <row r="34" ht="18" customHeight="1">
      <c r="B34" s="20" t="inlineStr">
        <is>
          <t>税 込 合 計</t>
        </is>
      </c>
      <c r="C34" s="45" t="n"/>
      <c r="D34" s="45" t="n"/>
      <c r="E34" s="46" t="n"/>
      <c r="F34" s="21">
        <f>F32+F33</f>
        <v/>
      </c>
    </row>
    <row r="36" ht="14" customHeight="1">
      <c r="B36" s="22" t="inlineStr">
        <is>
          <t>＜作業内容に関する注意事項＞
・取り外しができない、異音、動作確認が取れない、故障しているなど、その他トラブルがございます場合は作業を承れないことがございます。
・研磨作業が必要なクリーニング作業の場合、設備に細かな傷がついてしまう事がございます。
・変質や染色などの重度の汚れは、クリーニングでは完全に落とすことができない場合がございますのであらかじめご了承ください。
・設備全般において、10年以上経過している機器については保障出来かねることがございます。
・年数が経った樹脂部分は割れやすくなっています。接着剤での補修で対応させていただくことがあります。
・消臭抗菌コートは、薬剤の塗布ですので効果には限りがございます。</t>
        </is>
      </c>
      <c r="C36" s="48" t="n"/>
      <c r="D36" s="48" t="n"/>
      <c r="E36" s="48" t="n"/>
      <c r="F36" s="48" t="n"/>
      <c r="G36" s="48" t="n"/>
      <c r="H36" s="48" t="n"/>
      <c r="I36" s="49" t="n"/>
    </row>
    <row r="37" ht="14" customHeight="1">
      <c r="B37" s="50" t="n"/>
      <c r="I37" s="51" t="n"/>
    </row>
    <row r="38" ht="14" customHeight="1">
      <c r="B38" s="50" t="n"/>
      <c r="I38" s="51" t="n"/>
    </row>
    <row r="39" ht="14" customHeight="1">
      <c r="B39" s="50" t="n"/>
      <c r="I39" s="51" t="n"/>
    </row>
    <row r="40" ht="14" customHeight="1">
      <c r="B40" s="50" t="n"/>
      <c r="I40" s="51" t="n"/>
    </row>
    <row r="41" ht="14" customHeight="1">
      <c r="B41" s="50" t="n"/>
      <c r="I41" s="51" t="n"/>
    </row>
    <row r="42" ht="14" customHeight="1">
      <c r="B42" s="50" t="n"/>
      <c r="I42" s="51" t="n"/>
    </row>
    <row r="43" ht="14" customHeight="1">
      <c r="B43" s="50" t="n"/>
      <c r="I43" s="51" t="n"/>
    </row>
    <row r="44" ht="14" customHeight="1">
      <c r="B44" s="52" t="n"/>
      <c r="C44" s="53" t="n"/>
      <c r="D44" s="53" t="n"/>
      <c r="E44" s="53" t="n"/>
      <c r="F44" s="53" t="n"/>
      <c r="G44" s="53" t="n"/>
      <c r="H44" s="53" t="n"/>
      <c r="I44" s="54" t="n"/>
    </row>
    <row r="46">
      <c r="B46" s="23" t="inlineStr">
        <is>
          <t>Google 口コミはこちら ▶</t>
        </is>
      </c>
      <c r="F46" s="24" t="inlineStr">
        <is>
          <t>当店公式 LINE はこちら ▶</t>
        </is>
      </c>
    </row>
  </sheetData>
  <mergeCells count="25">
    <mergeCell ref="E3:I3"/>
    <mergeCell ref="H10:I10"/>
    <mergeCell ref="B33:E33"/>
    <mergeCell ref="E5:I5"/>
    <mergeCell ref="B36:I44"/>
    <mergeCell ref="B14:B15"/>
    <mergeCell ref="B32:E32"/>
    <mergeCell ref="F1:I1"/>
    <mergeCell ref="E4:I4"/>
    <mergeCell ref="B8:I8"/>
    <mergeCell ref="B46:E46"/>
    <mergeCell ref="B13:I13"/>
    <mergeCell ref="E6:I6"/>
    <mergeCell ref="E2:I2"/>
    <mergeCell ref="A4:C6"/>
    <mergeCell ref="B7:D7"/>
    <mergeCell ref="D14:D15"/>
    <mergeCell ref="E7:I7"/>
    <mergeCell ref="C9:I9"/>
    <mergeCell ref="A1:C3"/>
    <mergeCell ref="C12:I12"/>
    <mergeCell ref="B34:E34"/>
    <mergeCell ref="C11:I11"/>
    <mergeCell ref="F46:I46"/>
    <mergeCell ref="C10:E10"/>
  </mergeCells>
  <pageMargins left="0.75" right="0.75" top="1" bottom="1" header="0.5" footer="0.5"/>
  <pageSetup paperSize="9" fitToWidth="1"/>
</worksheet>
</file>

<file path=xl/worksheets/sheet2.xml><?xml version="1.0" encoding="utf-8"?>
<worksheet xmlns="http://schemas.openxmlformats.org/spreadsheetml/2006/main">
  <sheetPr>
    <outlinePr summaryBelow="1" summaryRight="1"/>
    <pageSetUpPr fitToPage="1"/>
  </sheetPr>
  <dimension ref="A1:I46"/>
  <sheetViews>
    <sheetView workbookViewId="0">
      <selection activeCell="A1" sqref="A1"/>
    </sheetView>
  </sheetViews>
  <sheetFormatPr baseColWidth="8" defaultRowHeight="15"/>
  <cols>
    <col width="2.5" customWidth="1" min="1" max="1"/>
    <col width="8" customWidth="1" min="2" max="2"/>
    <col width="28" customWidth="1" min="3" max="3"/>
    <col width="6" customWidth="1" min="4" max="4"/>
    <col width="8" customWidth="1" min="5" max="5"/>
    <col width="11" customWidth="1" min="6" max="6"/>
    <col width="2" customWidth="1" min="7" max="7"/>
    <col width="10" customWidth="1" min="8" max="8"/>
    <col width="22" customWidth="1" min="9" max="9"/>
  </cols>
  <sheetData>
    <row r="1" ht="28" customHeight="1">
      <c r="A1" s="1" t="inlineStr">
        <is>
          <t>【ロゴ・会社名
貼付スペース】</t>
        </is>
      </c>
      <c r="B1" s="37" t="n"/>
      <c r="C1" s="38" t="n"/>
      <c r="E1" s="2" t="inlineStr">
        <is>
          <t>発行日</t>
        </is>
      </c>
      <c r="F1" s="3" t="inlineStr">
        <is>
          <t>2026/06/16</t>
        </is>
      </c>
    </row>
    <row r="2" ht="28" customHeight="1">
      <c r="A2" s="39" t="n"/>
      <c r="C2" s="40" t="n"/>
      <c r="E2" s="4" t="inlineStr">
        <is>
          <t>クリーンハンター.COM</t>
        </is>
      </c>
    </row>
    <row r="3" ht="28" customHeight="1">
      <c r="A3" s="41" t="n"/>
      <c r="B3" s="42" t="n"/>
      <c r="C3" s="43" t="n"/>
      <c r="E3" s="5" t="inlineStr">
        <is>
          <t>代　表　　鳥　山　修　史</t>
        </is>
      </c>
    </row>
    <row r="4" ht="28" customHeight="1">
      <c r="A4" s="1" t="inlineStr">
        <is>
          <t>【担当者・会員証
貼付スペース】</t>
        </is>
      </c>
      <c r="B4" s="37" t="n"/>
      <c r="C4" s="38" t="n"/>
      <c r="E4" s="6" t="inlineStr">
        <is>
          <t>〒658-0022　神戸市東灘区深江南町3-5-1</t>
        </is>
      </c>
    </row>
    <row r="5" ht="28" customHeight="1">
      <c r="A5" s="39" t="n"/>
      <c r="C5" s="40" t="n"/>
      <c r="E5" s="6" t="inlineStr">
        <is>
          <t>078-451-3661　info@clean-hunter.com</t>
        </is>
      </c>
    </row>
    <row r="6" ht="28" customHeight="1">
      <c r="A6" s="41" t="n"/>
      <c r="B6" s="42" t="n"/>
      <c r="C6" s="43" t="n"/>
      <c r="E6" s="6" t="inlineStr">
        <is>
          <t>URL　www.clean-hunter.com</t>
        </is>
      </c>
    </row>
    <row r="7" ht="26" customHeight="1">
      <c r="B7" s="7" t="inlineStr">
        <is>
          <t>お見積書</t>
        </is>
      </c>
      <c r="C7" s="44" t="n"/>
      <c r="D7" s="44" t="n"/>
      <c r="E7" s="8" t="inlineStr">
        <is>
          <t>登録番号　T5810 3626 62803</t>
        </is>
      </c>
    </row>
    <row r="8" ht="20" customHeight="1">
      <c r="B8" s="9" t="inlineStr">
        <is>
          <t xml:space="preserve">　　　　　　　　　　　　　　　　　　御中</t>
        </is>
      </c>
      <c r="C8" s="42" t="n"/>
      <c r="D8" s="42" t="n"/>
      <c r="E8" s="42" t="n"/>
      <c r="F8" s="42" t="n"/>
      <c r="G8" s="42" t="n"/>
      <c r="H8" s="42" t="n"/>
      <c r="I8" s="42" t="n"/>
    </row>
    <row r="9" ht="16" customHeight="1">
      <c r="B9" s="10" t="inlineStr">
        <is>
          <t>件　　名：</t>
        </is>
      </c>
      <c r="C9" s="11" t="n"/>
      <c r="D9" s="45" t="n"/>
      <c r="E9" s="45" t="n"/>
      <c r="F9" s="45" t="n"/>
      <c r="G9" s="45" t="n"/>
      <c r="H9" s="45" t="n"/>
      <c r="I9" s="46" t="n"/>
    </row>
    <row r="10" ht="16" customHeight="1">
      <c r="B10" s="10" t="inlineStr">
        <is>
          <t>納　　期：</t>
        </is>
      </c>
      <c r="C10" s="11" t="n"/>
      <c r="D10" s="45" t="n"/>
      <c r="E10" s="46" t="n"/>
      <c r="G10" s="10" t="inlineStr">
        <is>
          <t>納品場所：</t>
        </is>
      </c>
      <c r="H10" s="11" t="n"/>
      <c r="I10" s="46" t="n"/>
    </row>
    <row r="11" ht="16" customHeight="1">
      <c r="B11" s="10" t="inlineStr">
        <is>
          <t>支払条件：</t>
        </is>
      </c>
      <c r="C11" s="11" t="inlineStr">
        <is>
          <t>現金カード決済</t>
        </is>
      </c>
      <c r="D11" s="45" t="n"/>
      <c r="E11" s="45" t="n"/>
      <c r="F11" s="45" t="n"/>
      <c r="G11" s="45" t="n"/>
      <c r="H11" s="45" t="n"/>
      <c r="I11" s="46" t="n"/>
    </row>
    <row r="12" ht="16" customHeight="1">
      <c r="B12" s="10" t="inlineStr">
        <is>
          <t>見積期限：</t>
        </is>
      </c>
      <c r="C12" s="11" t="n"/>
      <c r="D12" s="45" t="n"/>
      <c r="E12" s="45" t="n"/>
      <c r="F12" s="45" t="n"/>
      <c r="G12" s="45" t="n"/>
      <c r="H12" s="45" t="n"/>
      <c r="I12" s="46" t="n"/>
    </row>
    <row r="13" ht="16" customHeight="1">
      <c r="B13" s="12" t="inlineStr">
        <is>
          <t>下記の通り、お見積り申し上げます。</t>
        </is>
      </c>
    </row>
    <row r="14" ht="26" customHeight="1">
      <c r="B14" s="13" t="inlineStr">
        <is>
          <t>金　額</t>
        </is>
      </c>
      <c r="C14" s="14">
        <f>F34</f>
        <v/>
      </c>
      <c r="D14" s="11" t="inlineStr">
        <is>
          <t>（税込）</t>
        </is>
      </c>
    </row>
    <row r="15" ht="16" customHeight="1">
      <c r="B15" s="47" t="n"/>
      <c r="D15" s="47" t="n"/>
    </row>
    <row r="16" ht="18" customHeight="1">
      <c r="B16" s="15" t="inlineStr">
        <is>
          <t>No.</t>
        </is>
      </c>
      <c r="C16" s="15" t="inlineStr">
        <is>
          <t>項　目</t>
        </is>
      </c>
      <c r="D16" s="15" t="inlineStr">
        <is>
          <t>数量</t>
        </is>
      </c>
      <c r="E16" s="15" t="inlineStr">
        <is>
          <t>単価</t>
        </is>
      </c>
      <c r="F16" s="15" t="inlineStr">
        <is>
          <t>金額</t>
        </is>
      </c>
      <c r="H16" s="25" t="inlineStr">
        <is>
          <t>【参考単価】</t>
        </is>
      </c>
      <c r="I16" s="25" t="inlineStr">
        <is>
          <t>金額</t>
        </is>
      </c>
    </row>
    <row r="17" ht="12" customHeight="1">
      <c r="B17" s="16" t="n">
        <v>1</v>
      </c>
      <c r="C17" s="11" t="n"/>
      <c r="D17" s="16" t="n"/>
      <c r="E17" s="17" t="n"/>
      <c r="F17" s="17">
        <f>IF(D17="","",D17*E17)</f>
        <v/>
      </c>
      <c r="H17" s="26" t="inlineStr">
        <is>
          <t>網戸張替　大サイズ(210*135)</t>
        </is>
      </c>
      <c r="I17" s="27" t="n">
        <v>6000</v>
      </c>
    </row>
    <row r="18" ht="12" customHeight="1">
      <c r="B18" s="16" t="n">
        <v>2</v>
      </c>
      <c r="C18" s="11" t="n"/>
      <c r="D18" s="16" t="n"/>
      <c r="E18" s="17" t="n"/>
      <c r="F18" s="17">
        <f>IF(D18="","",D18*E18)</f>
        <v/>
      </c>
      <c r="H18" s="26" t="inlineStr">
        <is>
          <t>網戸張替　中サイズ(190*95)</t>
        </is>
      </c>
      <c r="I18" s="27" t="n">
        <v>5000</v>
      </c>
    </row>
    <row r="19" ht="12" customHeight="1">
      <c r="B19" s="16" t="n">
        <v>3</v>
      </c>
      <c r="C19" s="11" t="n"/>
      <c r="D19" s="16" t="n"/>
      <c r="E19" s="17" t="n"/>
      <c r="F19" s="17">
        <f>IF(D19="","",D19*E19)</f>
        <v/>
      </c>
      <c r="H19" s="26" t="inlineStr">
        <is>
          <t>網戸張替　小サイズ(〜150*95)</t>
        </is>
      </c>
      <c r="I19" s="27" t="n">
        <v>4000</v>
      </c>
    </row>
    <row r="20" ht="12" customHeight="1">
      <c r="B20" s="16" t="n">
        <v>4</v>
      </c>
      <c r="C20" s="11" t="n"/>
      <c r="D20" s="16" t="n"/>
      <c r="E20" s="17" t="n"/>
      <c r="F20" s="17">
        <f>IF(D20="","",D20*E20)</f>
        <v/>
      </c>
      <c r="H20" s="26" t="inlineStr">
        <is>
          <t>網戸張替　小窓(〜80*95)</t>
        </is>
      </c>
      <c r="I20" s="27" t="n">
        <v>3000</v>
      </c>
    </row>
    <row r="21" ht="12" customHeight="1">
      <c r="B21" s="16" t="n">
        <v>5</v>
      </c>
      <c r="C21" s="11" t="n"/>
      <c r="D21" s="16" t="n"/>
      <c r="E21" s="17" t="n"/>
      <c r="F21" s="17">
        <f>IF(D21="","",D21*E21)</f>
        <v/>
      </c>
      <c r="H21" s="26" t="inlineStr">
        <is>
          <t>ペットディフェンス/枚</t>
        </is>
      </c>
      <c r="I21" s="27" t="n">
        <v>2200</v>
      </c>
    </row>
    <row r="22" ht="12" customHeight="1">
      <c r="B22" s="16" t="n">
        <v>6</v>
      </c>
      <c r="C22" s="11" t="n"/>
      <c r="D22" s="16" t="n"/>
      <c r="E22" s="17" t="n"/>
      <c r="F22" s="17">
        <f>IF(D22="","",D22*E22)</f>
        <v/>
      </c>
      <c r="H22" s="26" t="inlineStr">
        <is>
          <t>グラスファイバー網/枚</t>
        </is>
      </c>
      <c r="I22" s="27" t="n">
        <v>1000</v>
      </c>
    </row>
    <row r="23" ht="12" customHeight="1">
      <c r="B23" s="16" t="n">
        <v>7</v>
      </c>
      <c r="C23" s="11" t="n"/>
      <c r="D23" s="16" t="n"/>
      <c r="E23" s="17" t="n"/>
      <c r="F23" s="17">
        <f>IF(D23="","",D23*E23)</f>
        <v/>
      </c>
      <c r="H23" s="26" t="inlineStr">
        <is>
          <t>障子張替　大(210*135)</t>
        </is>
      </c>
      <c r="I23" s="27" t="n">
        <v>6000</v>
      </c>
    </row>
    <row r="24" ht="12" customHeight="1">
      <c r="B24" s="16" t="n">
        <v>8</v>
      </c>
      <c r="C24" s="11" t="n"/>
      <c r="D24" s="16" t="n"/>
      <c r="E24" s="17" t="n"/>
      <c r="F24" s="17">
        <f>IF(D24="","",D24*E24)</f>
        <v/>
      </c>
      <c r="H24" s="26" t="inlineStr">
        <is>
          <t>ワーロン紙（4倍強化）大</t>
        </is>
      </c>
      <c r="I24" s="27" t="n">
        <v>4000</v>
      </c>
    </row>
    <row r="25" ht="12" customHeight="1">
      <c r="B25" s="16" t="n">
        <v>9</v>
      </c>
      <c r="C25" s="11" t="n"/>
      <c r="D25" s="16" t="n"/>
      <c r="E25" s="17" t="n"/>
      <c r="F25" s="17">
        <f>IF(D25="","",D25*E25)</f>
        <v/>
      </c>
      <c r="H25" s="26" t="inlineStr">
        <is>
          <t>網戸新設(150*95)/枚</t>
        </is>
      </c>
      <c r="I25" s="27" t="n">
        <v>8000</v>
      </c>
    </row>
    <row r="26" ht="12" customHeight="1">
      <c r="B26" s="16" t="n">
        <v>10</v>
      </c>
      <c r="C26" s="11" t="n"/>
      <c r="D26" s="16" t="n"/>
      <c r="E26" s="17" t="n"/>
      <c r="F26" s="17">
        <f>IF(D26="","",D26*E26)</f>
        <v/>
      </c>
      <c r="H26" s="26" t="inlineStr">
        <is>
          <t>網戸新設(190*95)/枚</t>
        </is>
      </c>
      <c r="I26" s="27" t="n">
        <v>13000</v>
      </c>
    </row>
    <row r="27" ht="12" customHeight="1">
      <c r="B27" s="16" t="n">
        <v>11</v>
      </c>
      <c r="C27" s="11" t="n"/>
      <c r="D27" s="16" t="n"/>
      <c r="E27" s="17" t="n"/>
      <c r="F27" s="17">
        <f>IF(D27="","",D27*E27)</f>
        <v/>
      </c>
      <c r="H27" s="26" t="inlineStr">
        <is>
          <t>取付・運搬費</t>
        </is>
      </c>
      <c r="I27" s="27" t="n">
        <v>3000</v>
      </c>
    </row>
    <row r="28" ht="15" customHeight="1">
      <c r="B28" s="16" t="n">
        <v>12</v>
      </c>
      <c r="C28" s="11" t="n"/>
      <c r="D28" s="16" t="n"/>
      <c r="E28" s="17" t="n"/>
      <c r="F28" s="17">
        <f>IF(D28="","",D28*E28)</f>
        <v/>
      </c>
    </row>
    <row r="29" ht="15" customHeight="1">
      <c r="B29" s="16" t="n">
        <v>13</v>
      </c>
      <c r="C29" s="11" t="n"/>
      <c r="D29" s="16" t="n"/>
      <c r="E29" s="17" t="n"/>
      <c r="F29" s="17">
        <f>IF(D29="","",D29*E29)</f>
        <v/>
      </c>
    </row>
    <row r="30" ht="15" customHeight="1">
      <c r="B30" s="16" t="n">
        <v>14</v>
      </c>
      <c r="C30" s="11" t="n"/>
      <c r="D30" s="16" t="n"/>
      <c r="E30" s="17" t="n"/>
      <c r="F30" s="17">
        <f>IF(D30="","",D30*E30)</f>
        <v/>
      </c>
    </row>
    <row r="31" ht="15" customHeight="1">
      <c r="B31" s="16" t="n">
        <v>15</v>
      </c>
      <c r="C31" s="11" t="n"/>
      <c r="D31" s="16" t="n"/>
      <c r="E31" s="17" t="n"/>
      <c r="F31" s="17">
        <f>IF(D31="","",D31*E31)</f>
        <v/>
      </c>
    </row>
    <row r="32">
      <c r="B32" s="18" t="inlineStr">
        <is>
          <t>小　計</t>
        </is>
      </c>
      <c r="C32" s="45" t="n"/>
      <c r="D32" s="45" t="n"/>
      <c r="E32" s="46" t="n"/>
      <c r="F32" s="19">
        <f>SUM(F17:F31)</f>
        <v/>
      </c>
    </row>
    <row r="33">
      <c r="B33" s="18" t="inlineStr">
        <is>
          <t>消費税（10%）</t>
        </is>
      </c>
      <c r="C33" s="45" t="n"/>
      <c r="D33" s="45" t="n"/>
      <c r="E33" s="46" t="n"/>
      <c r="F33" s="19">
        <f>F32*0.1</f>
        <v/>
      </c>
    </row>
    <row r="34" ht="18" customHeight="1">
      <c r="B34" s="20" t="inlineStr">
        <is>
          <t>税 込 合 計</t>
        </is>
      </c>
      <c r="C34" s="45" t="n"/>
      <c r="D34" s="45" t="n"/>
      <c r="E34" s="46" t="n"/>
      <c r="F34" s="21">
        <f>F32+F33</f>
        <v/>
      </c>
    </row>
    <row r="36" ht="14" customHeight="1">
      <c r="B36" s="22" t="inlineStr">
        <is>
          <t>＜作業内容に関する注意事項＞
・網戸の経年劣化（フレームの歪み・ローラーの破損など）がある場合は交換作業ができないことがございます。
・サイズは現場にて採寸します。記載サイズは目安です。
・特殊形状（三角窓・L字形など）は別途お見積りとなります。
・ペットディフェンス網・グラスファイバー網は在庫状況によりお時間をいただく場合がございます。
・障子の張替えは紙の種類によって仕上がりが異なります。サンプルをご確認の上ご注文ください。</t>
        </is>
      </c>
      <c r="C36" s="48" t="n"/>
      <c r="D36" s="48" t="n"/>
      <c r="E36" s="48" t="n"/>
      <c r="F36" s="48" t="n"/>
      <c r="G36" s="48" t="n"/>
      <c r="H36" s="48" t="n"/>
      <c r="I36" s="49" t="n"/>
    </row>
    <row r="37" ht="14" customHeight="1">
      <c r="B37" s="50" t="n"/>
      <c r="I37" s="51" t="n"/>
    </row>
    <row r="38" ht="14" customHeight="1">
      <c r="B38" s="50" t="n"/>
      <c r="I38" s="51" t="n"/>
    </row>
    <row r="39" ht="14" customHeight="1">
      <c r="B39" s="50" t="n"/>
      <c r="I39" s="51" t="n"/>
    </row>
    <row r="40" ht="14" customHeight="1">
      <c r="B40" s="50" t="n"/>
      <c r="I40" s="51" t="n"/>
    </row>
    <row r="41" ht="14" customHeight="1">
      <c r="B41" s="50" t="n"/>
      <c r="I41" s="51" t="n"/>
    </row>
    <row r="42" ht="14" customHeight="1">
      <c r="B42" s="50" t="n"/>
      <c r="I42" s="51" t="n"/>
    </row>
    <row r="43" ht="14" customHeight="1">
      <c r="B43" s="50" t="n"/>
      <c r="I43" s="51" t="n"/>
    </row>
    <row r="44" ht="14" customHeight="1">
      <c r="B44" s="52" t="n"/>
      <c r="C44" s="53" t="n"/>
      <c r="D44" s="53" t="n"/>
      <c r="E44" s="53" t="n"/>
      <c r="F44" s="53" t="n"/>
      <c r="G44" s="53" t="n"/>
      <c r="H44" s="53" t="n"/>
      <c r="I44" s="54" t="n"/>
    </row>
    <row r="46">
      <c r="B46" s="23" t="inlineStr">
        <is>
          <t>Google 口コミはこちら ▶</t>
        </is>
      </c>
      <c r="F46" s="24" t="inlineStr">
        <is>
          <t>当店公式 LINE はこちら ▶</t>
        </is>
      </c>
    </row>
  </sheetData>
  <mergeCells count="25">
    <mergeCell ref="E3:I3"/>
    <mergeCell ref="H10:I10"/>
    <mergeCell ref="B33:E33"/>
    <mergeCell ref="E5:I5"/>
    <mergeCell ref="B36:I44"/>
    <mergeCell ref="B14:B15"/>
    <mergeCell ref="B32:E32"/>
    <mergeCell ref="F1:I1"/>
    <mergeCell ref="E4:I4"/>
    <mergeCell ref="B8:I8"/>
    <mergeCell ref="B46:E46"/>
    <mergeCell ref="B13:I13"/>
    <mergeCell ref="E6:I6"/>
    <mergeCell ref="E2:I2"/>
    <mergeCell ref="A4:C6"/>
    <mergeCell ref="B7:D7"/>
    <mergeCell ref="D14:D15"/>
    <mergeCell ref="E7:I7"/>
    <mergeCell ref="C9:I9"/>
    <mergeCell ref="A1:C3"/>
    <mergeCell ref="C12:I12"/>
    <mergeCell ref="B34:E34"/>
    <mergeCell ref="C11:I11"/>
    <mergeCell ref="F46:I46"/>
    <mergeCell ref="C10:E10"/>
  </mergeCells>
  <pageMargins left="0.75" right="0.75" top="1" bottom="1" header="0.5" footer="0.5"/>
  <pageSetup paperSize="9" fitToWidth="1"/>
</worksheet>
</file>

<file path=xl/worksheets/sheet3.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cols>
    <col width="3" customWidth="1" min="1" max="1"/>
    <col width="6" customWidth="1" min="2" max="2"/>
    <col width="20" customWidth="1" min="3" max="3"/>
    <col width="15" customWidth="1" min="4" max="4"/>
    <col width="32" customWidth="1" min="5" max="5"/>
    <col width="12" customWidth="1" min="6" max="6"/>
    <col width="12" customWidth="1" min="7" max="7"/>
    <col width="12" customWidth="1" min="8" max="8"/>
    <col width="10" customWidth="1" min="9" max="9"/>
    <col width="12" customWidth="1" min="10" max="10"/>
    <col width="35" customWidth="1" min="11" max="11"/>
  </cols>
  <sheetData>
    <row r="1" ht="28" customHeight="1">
      <c r="A1" s="28" t="inlineStr">
        <is>
          <t>クリーンハンター　顧客データベース（顧客カルテ）</t>
        </is>
      </c>
    </row>
    <row r="2" ht="14" customHeight="1">
      <c r="A2" s="29" t="inlineStr">
        <is>
          <t>作成日：2026/06/16</t>
        </is>
      </c>
    </row>
    <row r="3" ht="22" customHeight="1">
      <c r="A3" s="15" t="inlineStr">
        <is>
          <t>No.</t>
        </is>
      </c>
      <c r="B3" s="15" t="inlineStr">
        <is>
          <t>種別</t>
        </is>
      </c>
      <c r="C3" s="15" t="inlineStr">
        <is>
          <t>顧客名</t>
        </is>
      </c>
      <c r="D3" s="15" t="inlineStr">
        <is>
          <t>電話番号</t>
        </is>
      </c>
      <c r="E3" s="15" t="inlineStr">
        <is>
          <t>住所</t>
        </is>
      </c>
      <c r="F3" s="15" t="inlineStr">
        <is>
          <t>発行日</t>
        </is>
      </c>
      <c r="G3" s="15" t="inlineStr">
        <is>
          <t>完了日</t>
        </is>
      </c>
      <c r="H3" s="15" t="inlineStr">
        <is>
          <t>税込金額</t>
        </is>
      </c>
      <c r="I3" s="15" t="inlineStr">
        <is>
          <t>支払状況</t>
        </is>
      </c>
      <c r="J3" s="15" t="inlineStr">
        <is>
          <t>担当者</t>
        </is>
      </c>
      <c r="K3" s="15" t="inlineStr">
        <is>
          <t>メモ・備考</t>
        </is>
      </c>
    </row>
    <row r="4" ht="16" customHeight="1">
      <c r="A4" s="30" t="n">
        <v>1</v>
      </c>
      <c r="B4" s="30" t="n"/>
      <c r="C4" s="31" t="n"/>
      <c r="D4" s="31" t="n"/>
      <c r="E4" s="31" t="n"/>
      <c r="F4" s="31" t="n"/>
      <c r="G4" s="31" t="n"/>
      <c r="H4" s="32" t="n"/>
      <c r="I4" s="30" t="n"/>
      <c r="J4" s="31" t="n"/>
      <c r="K4" s="31" t="n"/>
    </row>
    <row r="5" ht="16" customHeight="1">
      <c r="A5" s="33" t="n">
        <v>2</v>
      </c>
      <c r="B5" s="33" t="n"/>
      <c r="C5" s="34" t="n"/>
      <c r="D5" s="34" t="n"/>
      <c r="E5" s="34" t="n"/>
      <c r="F5" s="34" t="n"/>
      <c r="G5" s="34" t="n"/>
      <c r="H5" s="35" t="n"/>
      <c r="I5" s="33" t="n"/>
      <c r="J5" s="34" t="n"/>
      <c r="K5" s="34" t="n"/>
    </row>
    <row r="6" ht="16" customHeight="1">
      <c r="A6" s="30" t="n">
        <v>3</v>
      </c>
      <c r="B6" s="30" t="n"/>
      <c r="C6" s="31" t="n"/>
      <c r="D6" s="31" t="n"/>
      <c r="E6" s="31" t="n"/>
      <c r="F6" s="31" t="n"/>
      <c r="G6" s="31" t="n"/>
      <c r="H6" s="32" t="n"/>
      <c r="I6" s="30" t="n"/>
      <c r="J6" s="31" t="n"/>
      <c r="K6" s="31" t="n"/>
    </row>
    <row r="7" ht="16" customHeight="1">
      <c r="A7" s="33" t="n">
        <v>4</v>
      </c>
      <c r="B7" s="33" t="n"/>
      <c r="C7" s="34" t="n"/>
      <c r="D7" s="34" t="n"/>
      <c r="E7" s="34" t="n"/>
      <c r="F7" s="34" t="n"/>
      <c r="G7" s="34" t="n"/>
      <c r="H7" s="35" t="n"/>
      <c r="I7" s="33" t="n"/>
      <c r="J7" s="34" t="n"/>
      <c r="K7" s="34" t="n"/>
    </row>
    <row r="8" ht="16" customHeight="1">
      <c r="A8" s="30" t="n">
        <v>5</v>
      </c>
      <c r="B8" s="30" t="n"/>
      <c r="C8" s="31" t="n"/>
      <c r="D8" s="31" t="n"/>
      <c r="E8" s="31" t="n"/>
      <c r="F8" s="31" t="n"/>
      <c r="G8" s="31" t="n"/>
      <c r="H8" s="32" t="n"/>
      <c r="I8" s="30" t="n"/>
      <c r="J8" s="31" t="n"/>
      <c r="K8" s="31" t="n"/>
    </row>
    <row r="9" ht="16" customHeight="1">
      <c r="A9" s="33" t="n">
        <v>6</v>
      </c>
      <c r="B9" s="33" t="n"/>
      <c r="C9" s="34" t="n"/>
      <c r="D9" s="34" t="n"/>
      <c r="E9" s="34" t="n"/>
      <c r="F9" s="34" t="n"/>
      <c r="G9" s="34" t="n"/>
      <c r="H9" s="35" t="n"/>
      <c r="I9" s="33" t="n"/>
      <c r="J9" s="34" t="n"/>
      <c r="K9" s="34" t="n"/>
    </row>
    <row r="10" ht="16" customHeight="1">
      <c r="A10" s="30" t="n">
        <v>7</v>
      </c>
      <c r="B10" s="30" t="n"/>
      <c r="C10" s="31" t="n"/>
      <c r="D10" s="31" t="n"/>
      <c r="E10" s="31" t="n"/>
      <c r="F10" s="31" t="n"/>
      <c r="G10" s="31" t="n"/>
      <c r="H10" s="32" t="n"/>
      <c r="I10" s="30" t="n"/>
      <c r="J10" s="31" t="n"/>
      <c r="K10" s="31" t="n"/>
    </row>
    <row r="11" ht="16" customHeight="1">
      <c r="A11" s="33" t="n">
        <v>8</v>
      </c>
      <c r="B11" s="33" t="n"/>
      <c r="C11" s="34" t="n"/>
      <c r="D11" s="34" t="n"/>
      <c r="E11" s="34" t="n"/>
      <c r="F11" s="34" t="n"/>
      <c r="G11" s="34" t="n"/>
      <c r="H11" s="35" t="n"/>
      <c r="I11" s="33" t="n"/>
      <c r="J11" s="34" t="n"/>
      <c r="K11" s="34" t="n"/>
    </row>
    <row r="12" ht="16" customHeight="1">
      <c r="A12" s="30" t="n">
        <v>9</v>
      </c>
      <c r="B12" s="30" t="n"/>
      <c r="C12" s="31" t="n"/>
      <c r="D12" s="31" t="n"/>
      <c r="E12" s="31" t="n"/>
      <c r="F12" s="31" t="n"/>
      <c r="G12" s="31" t="n"/>
      <c r="H12" s="32" t="n"/>
      <c r="I12" s="30" t="n"/>
      <c r="J12" s="31" t="n"/>
      <c r="K12" s="31" t="n"/>
    </row>
    <row r="13" ht="16" customHeight="1">
      <c r="A13" s="33" t="n">
        <v>10</v>
      </c>
      <c r="B13" s="33" t="n"/>
      <c r="C13" s="34" t="n"/>
      <c r="D13" s="34" t="n"/>
      <c r="E13" s="34" t="n"/>
      <c r="F13" s="34" t="n"/>
      <c r="G13" s="34" t="n"/>
      <c r="H13" s="35" t="n"/>
      <c r="I13" s="33" t="n"/>
      <c r="J13" s="34" t="n"/>
      <c r="K13" s="34" t="n"/>
    </row>
    <row r="14" ht="16" customHeight="1">
      <c r="A14" s="30" t="n">
        <v>11</v>
      </c>
      <c r="B14" s="30" t="n"/>
      <c r="C14" s="31" t="n"/>
      <c r="D14" s="31" t="n"/>
      <c r="E14" s="31" t="n"/>
      <c r="F14" s="31" t="n"/>
      <c r="G14" s="31" t="n"/>
      <c r="H14" s="32" t="n"/>
      <c r="I14" s="30" t="n"/>
      <c r="J14" s="31" t="n"/>
      <c r="K14" s="31" t="n"/>
    </row>
    <row r="15" ht="16" customHeight="1">
      <c r="A15" s="33" t="n">
        <v>12</v>
      </c>
      <c r="B15" s="33" t="n"/>
      <c r="C15" s="34" t="n"/>
      <c r="D15" s="34" t="n"/>
      <c r="E15" s="34" t="n"/>
      <c r="F15" s="34" t="n"/>
      <c r="G15" s="34" t="n"/>
      <c r="H15" s="35" t="n"/>
      <c r="I15" s="33" t="n"/>
      <c r="J15" s="34" t="n"/>
      <c r="K15" s="34" t="n"/>
    </row>
    <row r="16" ht="16" customHeight="1">
      <c r="A16" s="30" t="n">
        <v>13</v>
      </c>
      <c r="B16" s="30" t="n"/>
      <c r="C16" s="31" t="n"/>
      <c r="D16" s="31" t="n"/>
      <c r="E16" s="31" t="n"/>
      <c r="F16" s="31" t="n"/>
      <c r="G16" s="31" t="n"/>
      <c r="H16" s="32" t="n"/>
      <c r="I16" s="30" t="n"/>
      <c r="J16" s="31" t="n"/>
      <c r="K16" s="31" t="n"/>
    </row>
    <row r="17" ht="16" customHeight="1">
      <c r="A17" s="33" t="n">
        <v>14</v>
      </c>
      <c r="B17" s="33" t="n"/>
      <c r="C17" s="34" t="n"/>
      <c r="D17" s="34" t="n"/>
      <c r="E17" s="34" t="n"/>
      <c r="F17" s="34" t="n"/>
      <c r="G17" s="34" t="n"/>
      <c r="H17" s="35" t="n"/>
      <c r="I17" s="33" t="n"/>
      <c r="J17" s="34" t="n"/>
      <c r="K17" s="34" t="n"/>
    </row>
    <row r="18" ht="16" customHeight="1">
      <c r="A18" s="30" t="n">
        <v>15</v>
      </c>
      <c r="B18" s="30" t="n"/>
      <c r="C18" s="31" t="n"/>
      <c r="D18" s="31" t="n"/>
      <c r="E18" s="31" t="n"/>
      <c r="F18" s="31" t="n"/>
      <c r="G18" s="31" t="n"/>
      <c r="H18" s="32" t="n"/>
      <c r="I18" s="30" t="n"/>
      <c r="J18" s="31" t="n"/>
      <c r="K18" s="31" t="n"/>
    </row>
    <row r="19" ht="16" customHeight="1">
      <c r="A19" s="33" t="n">
        <v>16</v>
      </c>
      <c r="B19" s="33" t="n"/>
      <c r="C19" s="34" t="n"/>
      <c r="D19" s="34" t="n"/>
      <c r="E19" s="34" t="n"/>
      <c r="F19" s="34" t="n"/>
      <c r="G19" s="34" t="n"/>
      <c r="H19" s="35" t="n"/>
      <c r="I19" s="33" t="n"/>
      <c r="J19" s="34" t="n"/>
      <c r="K19" s="34" t="n"/>
    </row>
    <row r="20" ht="16" customHeight="1">
      <c r="A20" s="30" t="n">
        <v>17</v>
      </c>
      <c r="B20" s="30" t="n"/>
      <c r="C20" s="31" t="n"/>
      <c r="D20" s="31" t="n"/>
      <c r="E20" s="31" t="n"/>
      <c r="F20" s="31" t="n"/>
      <c r="G20" s="31" t="n"/>
      <c r="H20" s="32" t="n"/>
      <c r="I20" s="30" t="n"/>
      <c r="J20" s="31" t="n"/>
      <c r="K20" s="31" t="n"/>
    </row>
    <row r="21" ht="16" customHeight="1">
      <c r="A21" s="33" t="n">
        <v>18</v>
      </c>
      <c r="B21" s="33" t="n"/>
      <c r="C21" s="34" t="n"/>
      <c r="D21" s="34" t="n"/>
      <c r="E21" s="34" t="n"/>
      <c r="F21" s="34" t="n"/>
      <c r="G21" s="34" t="n"/>
      <c r="H21" s="35" t="n"/>
      <c r="I21" s="33" t="n"/>
      <c r="J21" s="34" t="n"/>
      <c r="K21" s="34" t="n"/>
    </row>
    <row r="22" ht="16" customHeight="1">
      <c r="A22" s="30" t="n">
        <v>19</v>
      </c>
      <c r="B22" s="30" t="n"/>
      <c r="C22" s="31" t="n"/>
      <c r="D22" s="31" t="n"/>
      <c r="E22" s="31" t="n"/>
      <c r="F22" s="31" t="n"/>
      <c r="G22" s="31" t="n"/>
      <c r="H22" s="32" t="n"/>
      <c r="I22" s="30" t="n"/>
      <c r="J22" s="31" t="n"/>
      <c r="K22" s="31" t="n"/>
    </row>
    <row r="23" ht="16" customHeight="1">
      <c r="A23" s="33" t="n">
        <v>20</v>
      </c>
      <c r="B23" s="33" t="n"/>
      <c r="C23" s="34" t="n"/>
      <c r="D23" s="34" t="n"/>
      <c r="E23" s="34" t="n"/>
      <c r="F23" s="34" t="n"/>
      <c r="G23" s="34" t="n"/>
      <c r="H23" s="35" t="n"/>
      <c r="I23" s="33" t="n"/>
      <c r="J23" s="34" t="n"/>
      <c r="K23" s="34" t="n"/>
    </row>
    <row r="24" ht="16" customHeight="1">
      <c r="A24" s="30" t="n">
        <v>21</v>
      </c>
      <c r="B24" s="30" t="n"/>
      <c r="C24" s="31" t="n"/>
      <c r="D24" s="31" t="n"/>
      <c r="E24" s="31" t="n"/>
      <c r="F24" s="31" t="n"/>
      <c r="G24" s="31" t="n"/>
      <c r="H24" s="32" t="n"/>
      <c r="I24" s="30" t="n"/>
      <c r="J24" s="31" t="n"/>
      <c r="K24" s="31" t="n"/>
    </row>
    <row r="25" ht="16" customHeight="1">
      <c r="A25" s="33" t="n">
        <v>22</v>
      </c>
      <c r="B25" s="33" t="n"/>
      <c r="C25" s="34" t="n"/>
      <c r="D25" s="34" t="n"/>
      <c r="E25" s="34" t="n"/>
      <c r="F25" s="34" t="n"/>
      <c r="G25" s="34" t="n"/>
      <c r="H25" s="35" t="n"/>
      <c r="I25" s="33" t="n"/>
      <c r="J25" s="34" t="n"/>
      <c r="K25" s="34" t="n"/>
    </row>
    <row r="26" ht="16" customHeight="1">
      <c r="A26" s="30" t="n">
        <v>23</v>
      </c>
      <c r="B26" s="30" t="n"/>
      <c r="C26" s="31" t="n"/>
      <c r="D26" s="31" t="n"/>
      <c r="E26" s="31" t="n"/>
      <c r="F26" s="31" t="n"/>
      <c r="G26" s="31" t="n"/>
      <c r="H26" s="32" t="n"/>
      <c r="I26" s="30" t="n"/>
      <c r="J26" s="31" t="n"/>
      <c r="K26" s="31" t="n"/>
    </row>
    <row r="27" ht="16" customHeight="1">
      <c r="A27" s="33" t="n">
        <v>24</v>
      </c>
      <c r="B27" s="33" t="n"/>
      <c r="C27" s="34" t="n"/>
      <c r="D27" s="34" t="n"/>
      <c r="E27" s="34" t="n"/>
      <c r="F27" s="34" t="n"/>
      <c r="G27" s="34" t="n"/>
      <c r="H27" s="35" t="n"/>
      <c r="I27" s="33" t="n"/>
      <c r="J27" s="34" t="n"/>
      <c r="K27" s="34" t="n"/>
    </row>
    <row r="28" ht="16" customHeight="1">
      <c r="A28" s="30" t="n">
        <v>25</v>
      </c>
      <c r="B28" s="30" t="n"/>
      <c r="C28" s="31" t="n"/>
      <c r="D28" s="31" t="n"/>
      <c r="E28" s="31" t="n"/>
      <c r="F28" s="31" t="n"/>
      <c r="G28" s="31" t="n"/>
      <c r="H28" s="32" t="n"/>
      <c r="I28" s="30" t="n"/>
      <c r="J28" s="31" t="n"/>
      <c r="K28" s="31" t="n"/>
    </row>
    <row r="29" ht="16" customHeight="1">
      <c r="A29" s="33" t="n">
        <v>26</v>
      </c>
      <c r="B29" s="33" t="n"/>
      <c r="C29" s="34" t="n"/>
      <c r="D29" s="34" t="n"/>
      <c r="E29" s="34" t="n"/>
      <c r="F29" s="34" t="n"/>
      <c r="G29" s="34" t="n"/>
      <c r="H29" s="35" t="n"/>
      <c r="I29" s="33" t="n"/>
      <c r="J29" s="34" t="n"/>
      <c r="K29" s="34" t="n"/>
    </row>
    <row r="30" ht="16" customHeight="1">
      <c r="A30" s="30" t="n">
        <v>27</v>
      </c>
      <c r="B30" s="30" t="n"/>
      <c r="C30" s="31" t="n"/>
      <c r="D30" s="31" t="n"/>
      <c r="E30" s="31" t="n"/>
      <c r="F30" s="31" t="n"/>
      <c r="G30" s="31" t="n"/>
      <c r="H30" s="32" t="n"/>
      <c r="I30" s="30" t="n"/>
      <c r="J30" s="31" t="n"/>
      <c r="K30" s="31" t="n"/>
    </row>
    <row r="31" ht="16" customHeight="1">
      <c r="A31" s="33" t="n">
        <v>28</v>
      </c>
      <c r="B31" s="33" t="n"/>
      <c r="C31" s="34" t="n"/>
      <c r="D31" s="34" t="n"/>
      <c r="E31" s="34" t="n"/>
      <c r="F31" s="34" t="n"/>
      <c r="G31" s="34" t="n"/>
      <c r="H31" s="35" t="n"/>
      <c r="I31" s="33" t="n"/>
      <c r="J31" s="34" t="n"/>
      <c r="K31" s="34" t="n"/>
    </row>
    <row r="32" ht="16" customHeight="1">
      <c r="A32" s="30" t="n">
        <v>29</v>
      </c>
      <c r="B32" s="30" t="n"/>
      <c r="C32" s="31" t="n"/>
      <c r="D32" s="31" t="n"/>
      <c r="E32" s="31" t="n"/>
      <c r="F32" s="31" t="n"/>
      <c r="G32" s="31" t="n"/>
      <c r="H32" s="32" t="n"/>
      <c r="I32" s="30" t="n"/>
      <c r="J32" s="31" t="n"/>
      <c r="K32" s="31" t="n"/>
    </row>
    <row r="33" ht="16" customHeight="1">
      <c r="A33" s="33" t="n">
        <v>30</v>
      </c>
      <c r="B33" s="33" t="n"/>
      <c r="C33" s="34" t="n"/>
      <c r="D33" s="34" t="n"/>
      <c r="E33" s="34" t="n"/>
      <c r="F33" s="34" t="n"/>
      <c r="G33" s="34" t="n"/>
      <c r="H33" s="35" t="n"/>
      <c r="I33" s="33" t="n"/>
      <c r="J33" s="34" t="n"/>
      <c r="K33" s="34" t="n"/>
    </row>
    <row r="34" ht="16" customHeight="1">
      <c r="A34" s="30" t="n">
        <v>31</v>
      </c>
      <c r="B34" s="30" t="n"/>
      <c r="C34" s="31" t="n"/>
      <c r="D34" s="31" t="n"/>
      <c r="E34" s="31" t="n"/>
      <c r="F34" s="31" t="n"/>
      <c r="G34" s="31" t="n"/>
      <c r="H34" s="32" t="n"/>
      <c r="I34" s="30" t="n"/>
      <c r="J34" s="31" t="n"/>
      <c r="K34" s="31" t="n"/>
    </row>
    <row r="35" ht="16" customHeight="1">
      <c r="A35" s="33" t="n">
        <v>32</v>
      </c>
      <c r="B35" s="33" t="n"/>
      <c r="C35" s="34" t="n"/>
      <c r="D35" s="34" t="n"/>
      <c r="E35" s="34" t="n"/>
      <c r="F35" s="34" t="n"/>
      <c r="G35" s="34" t="n"/>
      <c r="H35" s="35" t="n"/>
      <c r="I35" s="33" t="n"/>
      <c r="J35" s="34" t="n"/>
      <c r="K35" s="34" t="n"/>
    </row>
    <row r="36" ht="16" customHeight="1">
      <c r="A36" s="30" t="n">
        <v>33</v>
      </c>
      <c r="B36" s="30" t="n"/>
      <c r="C36" s="31" t="n"/>
      <c r="D36" s="31" t="n"/>
      <c r="E36" s="31" t="n"/>
      <c r="F36" s="31" t="n"/>
      <c r="G36" s="31" t="n"/>
      <c r="H36" s="32" t="n"/>
      <c r="I36" s="30" t="n"/>
      <c r="J36" s="31" t="n"/>
      <c r="K36" s="31" t="n"/>
    </row>
    <row r="37" ht="16" customHeight="1">
      <c r="A37" s="33" t="n">
        <v>34</v>
      </c>
      <c r="B37" s="33" t="n"/>
      <c r="C37" s="34" t="n"/>
      <c r="D37" s="34" t="n"/>
      <c r="E37" s="34" t="n"/>
      <c r="F37" s="34" t="n"/>
      <c r="G37" s="34" t="n"/>
      <c r="H37" s="35" t="n"/>
      <c r="I37" s="33" t="n"/>
      <c r="J37" s="34" t="n"/>
      <c r="K37" s="34" t="n"/>
    </row>
    <row r="38" ht="16" customHeight="1">
      <c r="A38" s="30" t="n">
        <v>35</v>
      </c>
      <c r="B38" s="30" t="n"/>
      <c r="C38" s="31" t="n"/>
      <c r="D38" s="31" t="n"/>
      <c r="E38" s="31" t="n"/>
      <c r="F38" s="31" t="n"/>
      <c r="G38" s="31" t="n"/>
      <c r="H38" s="32" t="n"/>
      <c r="I38" s="30" t="n"/>
      <c r="J38" s="31" t="n"/>
      <c r="K38" s="31" t="n"/>
    </row>
    <row r="39" ht="16" customHeight="1">
      <c r="A39" s="33" t="n">
        <v>36</v>
      </c>
      <c r="B39" s="33" t="n"/>
      <c r="C39" s="34" t="n"/>
      <c r="D39" s="34" t="n"/>
      <c r="E39" s="34" t="n"/>
      <c r="F39" s="34" t="n"/>
      <c r="G39" s="34" t="n"/>
      <c r="H39" s="35" t="n"/>
      <c r="I39" s="33" t="n"/>
      <c r="J39" s="34" t="n"/>
      <c r="K39" s="34" t="n"/>
    </row>
    <row r="40" ht="16" customHeight="1">
      <c r="A40" s="30" t="n">
        <v>37</v>
      </c>
      <c r="B40" s="30" t="n"/>
      <c r="C40" s="31" t="n"/>
      <c r="D40" s="31" t="n"/>
      <c r="E40" s="31" t="n"/>
      <c r="F40" s="31" t="n"/>
      <c r="G40" s="31" t="n"/>
      <c r="H40" s="32" t="n"/>
      <c r="I40" s="30" t="n"/>
      <c r="J40" s="31" t="n"/>
      <c r="K40" s="31" t="n"/>
    </row>
    <row r="41" ht="16" customHeight="1">
      <c r="A41" s="33" t="n">
        <v>38</v>
      </c>
      <c r="B41" s="33" t="n"/>
      <c r="C41" s="34" t="n"/>
      <c r="D41" s="34" t="n"/>
      <c r="E41" s="34" t="n"/>
      <c r="F41" s="34" t="n"/>
      <c r="G41" s="34" t="n"/>
      <c r="H41" s="35" t="n"/>
      <c r="I41" s="33" t="n"/>
      <c r="J41" s="34" t="n"/>
      <c r="K41" s="34" t="n"/>
    </row>
    <row r="42" ht="16" customHeight="1">
      <c r="A42" s="30" t="n">
        <v>39</v>
      </c>
      <c r="B42" s="30" t="n"/>
      <c r="C42" s="31" t="n"/>
      <c r="D42" s="31" t="n"/>
      <c r="E42" s="31" t="n"/>
      <c r="F42" s="31" t="n"/>
      <c r="G42" s="31" t="n"/>
      <c r="H42" s="32" t="n"/>
      <c r="I42" s="30" t="n"/>
      <c r="J42" s="31" t="n"/>
      <c r="K42" s="31" t="n"/>
    </row>
    <row r="43" ht="16" customHeight="1">
      <c r="A43" s="33" t="n">
        <v>40</v>
      </c>
      <c r="B43" s="33" t="n"/>
      <c r="C43" s="34" t="n"/>
      <c r="D43" s="34" t="n"/>
      <c r="E43" s="34" t="n"/>
      <c r="F43" s="34" t="n"/>
      <c r="G43" s="34" t="n"/>
      <c r="H43" s="35" t="n"/>
      <c r="I43" s="33" t="n"/>
      <c r="J43" s="34" t="n"/>
      <c r="K43" s="34" t="n"/>
    </row>
    <row r="44" ht="16" customHeight="1">
      <c r="A44" s="30" t="n">
        <v>41</v>
      </c>
      <c r="B44" s="30" t="n"/>
      <c r="C44" s="31" t="n"/>
      <c r="D44" s="31" t="n"/>
      <c r="E44" s="31" t="n"/>
      <c r="F44" s="31" t="n"/>
      <c r="G44" s="31" t="n"/>
      <c r="H44" s="32" t="n"/>
      <c r="I44" s="30" t="n"/>
      <c r="J44" s="31" t="n"/>
      <c r="K44" s="31" t="n"/>
    </row>
    <row r="45" ht="16" customHeight="1">
      <c r="A45" s="33" t="n">
        <v>42</v>
      </c>
      <c r="B45" s="33" t="n"/>
      <c r="C45" s="34" t="n"/>
      <c r="D45" s="34" t="n"/>
      <c r="E45" s="34" t="n"/>
      <c r="F45" s="34" t="n"/>
      <c r="G45" s="34" t="n"/>
      <c r="H45" s="35" t="n"/>
      <c r="I45" s="33" t="n"/>
      <c r="J45" s="34" t="n"/>
      <c r="K45" s="34" t="n"/>
    </row>
    <row r="46" ht="16" customHeight="1">
      <c r="A46" s="30" t="n">
        <v>43</v>
      </c>
      <c r="B46" s="30" t="n"/>
      <c r="C46" s="31" t="n"/>
      <c r="D46" s="31" t="n"/>
      <c r="E46" s="31" t="n"/>
      <c r="F46" s="31" t="n"/>
      <c r="G46" s="31" t="n"/>
      <c r="H46" s="32" t="n"/>
      <c r="I46" s="30" t="n"/>
      <c r="J46" s="31" t="n"/>
      <c r="K46" s="31" t="n"/>
    </row>
    <row r="47" ht="16" customHeight="1">
      <c r="A47" s="33" t="n">
        <v>44</v>
      </c>
      <c r="B47" s="33" t="n"/>
      <c r="C47" s="34" t="n"/>
      <c r="D47" s="34" t="n"/>
      <c r="E47" s="34" t="n"/>
      <c r="F47" s="34" t="n"/>
      <c r="G47" s="34" t="n"/>
      <c r="H47" s="35" t="n"/>
      <c r="I47" s="33" t="n"/>
      <c r="J47" s="34" t="n"/>
      <c r="K47" s="34" t="n"/>
    </row>
    <row r="48" ht="16" customHeight="1">
      <c r="A48" s="30" t="n">
        <v>45</v>
      </c>
      <c r="B48" s="30" t="n"/>
      <c r="C48" s="31" t="n"/>
      <c r="D48" s="31" t="n"/>
      <c r="E48" s="31" t="n"/>
      <c r="F48" s="31" t="n"/>
      <c r="G48" s="31" t="n"/>
      <c r="H48" s="32" t="n"/>
      <c r="I48" s="30" t="n"/>
      <c r="J48" s="31" t="n"/>
      <c r="K48" s="31" t="n"/>
    </row>
    <row r="49" ht="16" customHeight="1">
      <c r="A49" s="33" t="n">
        <v>46</v>
      </c>
      <c r="B49" s="33" t="n"/>
      <c r="C49" s="34" t="n"/>
      <c r="D49" s="34" t="n"/>
      <c r="E49" s="34" t="n"/>
      <c r="F49" s="34" t="n"/>
      <c r="G49" s="34" t="n"/>
      <c r="H49" s="35" t="n"/>
      <c r="I49" s="33" t="n"/>
      <c r="J49" s="34" t="n"/>
      <c r="K49" s="34" t="n"/>
    </row>
    <row r="50" ht="16" customHeight="1">
      <c r="A50" s="30" t="n">
        <v>47</v>
      </c>
      <c r="B50" s="30" t="n"/>
      <c r="C50" s="31" t="n"/>
      <c r="D50" s="31" t="n"/>
      <c r="E50" s="31" t="n"/>
      <c r="F50" s="31" t="n"/>
      <c r="G50" s="31" t="n"/>
      <c r="H50" s="32" t="n"/>
      <c r="I50" s="30" t="n"/>
      <c r="J50" s="31" t="n"/>
      <c r="K50" s="31" t="n"/>
    </row>
    <row r="51" ht="16" customHeight="1">
      <c r="A51" s="33" t="n">
        <v>48</v>
      </c>
      <c r="B51" s="33" t="n"/>
      <c r="C51" s="34" t="n"/>
      <c r="D51" s="34" t="n"/>
      <c r="E51" s="34" t="n"/>
      <c r="F51" s="34" t="n"/>
      <c r="G51" s="34" t="n"/>
      <c r="H51" s="35" t="n"/>
      <c r="I51" s="33" t="n"/>
      <c r="J51" s="34" t="n"/>
      <c r="K51" s="34" t="n"/>
    </row>
    <row r="52" ht="16" customHeight="1">
      <c r="A52" s="30" t="n">
        <v>49</v>
      </c>
      <c r="B52" s="30" t="n"/>
      <c r="C52" s="31" t="n"/>
      <c r="D52" s="31" t="n"/>
      <c r="E52" s="31" t="n"/>
      <c r="F52" s="31" t="n"/>
      <c r="G52" s="31" t="n"/>
      <c r="H52" s="32" t="n"/>
      <c r="I52" s="30" t="n"/>
      <c r="J52" s="31" t="n"/>
      <c r="K52" s="31" t="n"/>
    </row>
    <row r="53" ht="16" customHeight="1">
      <c r="A53" s="33" t="n">
        <v>50</v>
      </c>
      <c r="B53" s="33" t="n"/>
      <c r="C53" s="34" t="n"/>
      <c r="D53" s="34" t="n"/>
      <c r="E53" s="34" t="n"/>
      <c r="F53" s="34" t="n"/>
      <c r="G53" s="34" t="n"/>
      <c r="H53" s="35" t="n"/>
      <c r="I53" s="33" t="n"/>
      <c r="J53" s="34" t="n"/>
      <c r="K53" s="34" t="n"/>
    </row>
    <row r="56" ht="14" customHeight="1">
      <c r="A56" s="36" t="inlineStr">
        <is>
          <t>【種別】HC = ハウスクリーニング　AD = 網戸・障子　【支払状況】済 / 未 / カード</t>
        </is>
      </c>
      <c r="B56" s="45" t="n"/>
      <c r="C56" s="45" t="n"/>
      <c r="D56" s="45" t="n"/>
      <c r="E56" s="45" t="n"/>
      <c r="F56" s="45" t="n"/>
      <c r="G56" s="45" t="n"/>
      <c r="H56" s="45" t="n"/>
      <c r="I56" s="45" t="n"/>
      <c r="J56" s="45" t="n"/>
      <c r="K56" s="46" t="n"/>
    </row>
  </sheetData>
  <mergeCells count="3">
    <mergeCell ref="A2:K2"/>
    <mergeCell ref="A1:K1"/>
    <mergeCell ref="A56:K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2026-06-16T14:49:03Z</dcterms:created>
  <dcterms:modified xsi:type="dcterms:W3CDTF">2026-06-16T15:03:33Z</dcterms:modified>
</cp:coreProperties>
</file>